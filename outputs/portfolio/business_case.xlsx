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Business Case A (Reconquête)" sheetId="2" state="visible" r:id="rId2"/>
    <sheet name="Business Case B (SKU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4" fillId="3" borderId="1" pivotButton="0" quotePrefix="0" xfId="0"/>
    <xf numFmtId="0" fontId="0" fillId="0" borderId="1" applyAlignment="1" pivotButton="0" quotePrefix="0" xfId="0">
      <alignment horizontal="center"/>
    </xf>
    <xf numFmtId="165" fontId="4" fillId="3" borderId="1" pivotButton="0" quotePrefix="0" xfId="0"/>
    <xf numFmtId="0" fontId="3" fillId="2" borderId="0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3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51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CUSTOMER &amp; GROWTH AI LAB - HYPOTHÈSES DES BUSINESS CASES</t>
        </is>
      </c>
    </row>
    <row r="2">
      <c r="A2" s="2" t="inlineStr">
        <is>
          <t>Modifiez les cellules en fond vert léger ci-dessous pour recalculer dynamiquement les modèles.</t>
        </is>
      </c>
    </row>
    <row r="3"/>
    <row r="4">
      <c r="A4" s="3" t="inlineStr">
        <is>
          <t>Code Hypothèse</t>
        </is>
      </c>
      <c r="B4" s="3" t="inlineStr">
        <is>
          <t>Description de l'Hypothèse</t>
        </is>
      </c>
      <c r="C4" s="3" t="inlineStr">
        <is>
          <t>Valeur</t>
        </is>
      </c>
      <c r="D4" s="3" t="inlineStr">
        <is>
          <t>Unité</t>
        </is>
      </c>
      <c r="E4" s="3" t="inlineStr">
        <is>
          <t>Source / Validation</t>
        </is>
      </c>
    </row>
    <row r="5">
      <c r="A5" s="4" t="inlineStr">
        <is>
          <t>COST_CONTACT</t>
        </is>
      </c>
      <c r="B5" s="5" t="inlineStr">
        <is>
          <t>Coût unitaire de contact CRM (Phoning / SMS)</t>
        </is>
      </c>
      <c r="C5" s="6" t="n">
        <v>2</v>
      </c>
      <c r="D5" s="7" t="inlineStr">
        <is>
          <t>£ / client</t>
        </is>
      </c>
      <c r="E5" s="5" t="inlineStr">
        <is>
          <t>Estimation CRM direct</t>
        </is>
      </c>
    </row>
    <row r="6">
      <c r="A6" s="4" t="inlineStr">
        <is>
          <t>RESP_RATE</t>
        </is>
      </c>
      <c r="B6" s="5" t="inlineStr">
        <is>
          <t>Taux de conversion / réengagement estimé</t>
        </is>
      </c>
      <c r="C6" s="8" t="n">
        <v>0.06</v>
      </c>
      <c r="D6" s="7" t="inlineStr">
        <is>
          <t>%</t>
        </is>
      </c>
      <c r="E6" s="5" t="inlineStr">
        <is>
          <t>Historique campagnes CRM</t>
        </is>
      </c>
    </row>
    <row r="7">
      <c r="A7" s="4" t="inlineStr">
        <is>
          <t>MARGIN_RATE</t>
        </is>
      </c>
      <c r="B7" s="5" t="inlineStr">
        <is>
          <t>Taux de marge brute moyen sur les ventes</t>
        </is>
      </c>
      <c r="C7" s="8" t="n">
        <v>0.4</v>
      </c>
      <c r="D7" s="7" t="inlineStr">
        <is>
          <t>%</t>
        </is>
      </c>
      <c r="E7" s="5" t="inlineStr">
        <is>
          <t>Comptabilité analytique</t>
        </is>
      </c>
    </row>
    <row r="8">
      <c r="A8" s="4" t="inlineStr">
        <is>
          <t>SKU_COST</t>
        </is>
      </c>
      <c r="B8" s="5" t="inlineStr">
        <is>
          <t>Coût de complexité logistique annuel par SKU</t>
        </is>
      </c>
      <c r="C8" s="6" t="n">
        <v>500</v>
      </c>
      <c r="D8" s="7" t="inlineStr">
        <is>
          <t>£ / SKU / an</t>
        </is>
      </c>
      <c r="E8" s="5" t="inlineStr">
        <is>
          <t>Analyse coûts fixes Supply</t>
        </is>
      </c>
    </row>
    <row r="9">
      <c r="A9" s="4" t="inlineStr">
        <is>
          <t>TRANSFER_RATE</t>
        </is>
      </c>
      <c r="B9" s="5" t="inlineStr">
        <is>
          <t>Taux de transfert d'achat vers SKUs A/B</t>
        </is>
      </c>
      <c r="C9" s="8" t="n">
        <v>0.5</v>
      </c>
      <c r="D9" s="7" t="inlineStr">
        <is>
          <t>%</t>
        </is>
      </c>
      <c r="E9" s="5" t="inlineStr">
        <is>
          <t>Merchandising / Substituts</t>
        </is>
      </c>
    </row>
    <row r="10">
      <c r="A10" s="4" t="inlineStr">
        <is>
          <t>CONTROL_PCT</t>
        </is>
      </c>
      <c r="B10" s="5" t="inlineStr">
        <is>
          <t>Part des clients réservés au groupe de contrôle</t>
        </is>
      </c>
      <c r="C10" s="8" t="n">
        <v>0.1</v>
      </c>
      <c r="D10" s="7" t="inlineStr">
        <is>
          <t>%</t>
        </is>
      </c>
      <c r="E10" s="5" t="inlineStr">
        <is>
          <t>Méthodologie AB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26" customWidth="1" min="3" max="3"/>
  </cols>
  <sheetData>
    <row r="1">
      <c r="A1" s="1" t="inlineStr">
        <is>
          <t>BUSINESS CASE A : RECONQUÊTE DES CLIENTS À RISQUE</t>
        </is>
      </c>
    </row>
    <row r="2">
      <c r="A2" s="2" t="inlineStr">
        <is>
          <t>Recalcul dynamique lié aux cellules de l'onglet 'Hypothèses'.</t>
        </is>
      </c>
    </row>
    <row r="3"/>
    <row r="4">
      <c r="A4" s="9" t="inlineStr">
        <is>
          <t>Indicateur Financier / Opérationnel</t>
        </is>
      </c>
      <c r="B4" s="9" t="inlineStr">
        <is>
          <t>Formule Excel / Valeur</t>
        </is>
      </c>
      <c r="C4" s="9" t="inlineStr">
        <is>
          <t>Unité</t>
        </is>
      </c>
    </row>
    <row r="5">
      <c r="A5" s="5" t="inlineStr">
        <is>
          <t>Volume de clients ciblés (À risque)</t>
        </is>
      </c>
      <c r="B5" s="10" t="n">
        <v>828</v>
      </c>
      <c r="C5" s="5" t="inlineStr">
        <is>
          <t>clients</t>
        </is>
      </c>
    </row>
    <row r="6">
      <c r="A6" s="5" t="inlineStr">
        <is>
          <t>Part du groupe de contrôle</t>
        </is>
      </c>
      <c r="B6" s="11">
        <f>'Hypothèses'!C10</f>
        <v/>
      </c>
      <c r="C6" s="5" t="inlineStr">
        <is>
          <t>%</t>
        </is>
      </c>
    </row>
    <row r="7">
      <c r="A7" s="5" t="inlineStr">
        <is>
          <t>Volume du groupe de contrôle</t>
        </is>
      </c>
      <c r="B7" s="10">
        <f>ROUND(B5*B6, 0)</f>
        <v/>
      </c>
      <c r="C7" s="5" t="inlineStr">
        <is>
          <t>clients (AB Testing)</t>
        </is>
      </c>
    </row>
    <row r="8">
      <c r="A8" s="5" t="inlineStr">
        <is>
          <t>Volume réellement contacté (Traitement)</t>
        </is>
      </c>
      <c r="B8" s="10">
        <f>B5-B7</f>
        <v/>
      </c>
      <c r="C8" s="5" t="inlineStr">
        <is>
          <t>clients</t>
        </is>
      </c>
    </row>
    <row r="9">
      <c r="A9" s="5" t="inlineStr">
        <is>
          <t>Coût unitaire de contact</t>
        </is>
      </c>
      <c r="B9" s="12">
        <f>'Hypothèses'!C5</f>
        <v/>
      </c>
      <c r="C9" s="5" t="inlineStr">
        <is>
          <t>£ / client</t>
        </is>
      </c>
    </row>
    <row r="10">
      <c r="A10" s="5" t="inlineStr">
        <is>
          <t>Investissement Total (Coût Campagne)</t>
        </is>
      </c>
      <c r="B10" s="12">
        <f>B8*B9</f>
        <v/>
      </c>
      <c r="C10" s="5" t="inlineStr">
        <is>
          <t>£</t>
        </is>
      </c>
    </row>
    <row r="11">
      <c r="A11" s="5" t="inlineStr">
        <is>
          <t>Panier Moyen Historique du Segment</t>
        </is>
      </c>
      <c r="B11" s="12" t="n">
        <v>1978.416352657005</v>
      </c>
      <c r="C11" s="5" t="inlineStr">
        <is>
          <t>£</t>
        </is>
      </c>
    </row>
    <row r="12">
      <c r="A12" s="5" t="inlineStr">
        <is>
          <t>Taux de Réponse (Conversion)</t>
        </is>
      </c>
      <c r="B12" s="11">
        <f>'Hypothèses'!C6</f>
        <v/>
      </c>
      <c r="C12" s="5" t="inlineStr">
        <is>
          <t>%</t>
        </is>
      </c>
    </row>
    <row r="13">
      <c r="A13" s="5" t="inlineStr">
        <is>
          <t>Nombre de clients réengagés</t>
        </is>
      </c>
      <c r="B13" s="10">
        <f>B8*B12</f>
        <v/>
      </c>
      <c r="C13" s="5" t="inlineStr">
        <is>
          <t>clients</t>
        </is>
      </c>
    </row>
    <row r="14">
      <c r="A14" s="5" t="inlineStr">
        <is>
          <t>Chiffre d'Affaires Brut Généré</t>
        </is>
      </c>
      <c r="B14" s="12">
        <f>B13*B11</f>
        <v/>
      </c>
      <c r="C14" s="5" t="inlineStr">
        <is>
          <t>£</t>
        </is>
      </c>
    </row>
    <row r="15">
      <c r="A15" s="5" t="inlineStr">
        <is>
          <t>Taux de Marge Brute</t>
        </is>
      </c>
      <c r="B15" s="11">
        <f>'Hypothèses'!C7</f>
        <v/>
      </c>
      <c r="C15" s="5" t="inlineStr">
        <is>
          <t>%</t>
        </is>
      </c>
    </row>
    <row r="16">
      <c r="A16" s="5" t="inlineStr">
        <is>
          <t>Marge Brute Générée</t>
        </is>
      </c>
      <c r="B16" s="12">
        <f>B14*B15</f>
        <v/>
      </c>
      <c r="C16" s="5" t="inlineStr">
        <is>
          <t>£</t>
        </is>
      </c>
    </row>
    <row r="17">
      <c r="A17" s="13" t="inlineStr">
        <is>
          <t>GAIN NET FINANCIER (Marge - Coût)</t>
        </is>
      </c>
      <c r="B17" s="14">
        <f>B16-B10</f>
        <v/>
      </c>
      <c r="C17" s="5" t="inlineStr">
        <is>
          <t>£</t>
        </is>
      </c>
    </row>
    <row r="18">
      <c r="A18" s="5" t="inlineStr">
        <is>
          <t>Seuil de Rentabilité (Break-even Rate)</t>
        </is>
      </c>
      <c r="B18" s="11">
        <f>B9/(B11*B15)</f>
        <v/>
      </c>
      <c r="C18" s="5" t="inlineStr">
        <is>
          <t>% réengagement minimum</t>
        </is>
      </c>
    </row>
    <row r="19">
      <c r="A19" s="13" t="inlineStr">
        <is>
          <t>RETOUR SUR INVESTISSEMENT (ROI)</t>
        </is>
      </c>
      <c r="B19" s="15">
        <f>B17/B10</f>
        <v/>
      </c>
      <c r="C19" s="5" t="inlineStr">
        <is>
          <t>% ROI 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31" customWidth="1" min="3" max="3"/>
  </cols>
  <sheetData>
    <row r="1">
      <c r="A1" s="1" t="inlineStr">
        <is>
          <t>BUSINESS CASE B : RATIONALISATION DU CATALOGUE SKUS</t>
        </is>
      </c>
    </row>
    <row r="2">
      <c r="A2" s="2" t="inlineStr">
        <is>
          <t>Recalcul dynamique lié aux cellules de l'onglet 'Hypothèses'.</t>
        </is>
      </c>
    </row>
    <row r="3"/>
    <row r="4">
      <c r="A4" s="9" t="inlineStr">
        <is>
          <t>Indicateur Financier / Logistique</t>
        </is>
      </c>
      <c r="B4" s="9" t="inlineStr">
        <is>
          <t>Formule Excel / Valeur</t>
        </is>
      </c>
      <c r="C4" s="9" t="inlineStr">
        <is>
          <t>Unité</t>
        </is>
      </c>
    </row>
    <row r="5">
      <c r="A5" s="5" t="inlineStr">
        <is>
          <t>Volume de SKUs C déréférencés</t>
        </is>
      </c>
      <c r="B5" s="10" t="n">
        <v>176</v>
      </c>
      <c r="C5" s="5" t="inlineStr">
        <is>
          <t>références C</t>
        </is>
      </c>
    </row>
    <row r="6">
      <c r="A6" s="5" t="inlineStr">
        <is>
          <t>Chiffre d'Affaires Historique des SKUs</t>
        </is>
      </c>
      <c r="B6" s="12" t="n">
        <v>14020.87</v>
      </c>
      <c r="C6" s="5" t="inlineStr">
        <is>
          <t>£</t>
        </is>
      </c>
    </row>
    <row r="7">
      <c r="A7" s="5" t="inlineStr">
        <is>
          <t>Taux de transfert d'achat vers SKUs A/B</t>
        </is>
      </c>
      <c r="B7" s="11">
        <f>'Hypothèses'!C9</f>
        <v/>
      </c>
      <c r="C7" s="5" t="inlineStr">
        <is>
          <t>%</t>
        </is>
      </c>
    </row>
    <row r="8">
      <c r="A8" s="5" t="inlineStr">
        <is>
          <t>Part de CA perdu définitivement</t>
        </is>
      </c>
      <c r="B8" s="11">
        <f>1-B7</f>
        <v/>
      </c>
      <c r="C8" s="5" t="inlineStr">
        <is>
          <t>%</t>
        </is>
      </c>
    </row>
    <row r="9">
      <c r="A9" s="5" t="inlineStr">
        <is>
          <t>Chiffre d'Affaires Perdu</t>
        </is>
      </c>
      <c r="B9" s="12">
        <f>B6*B8</f>
        <v/>
      </c>
      <c r="C9" s="5" t="inlineStr">
        <is>
          <t>£</t>
        </is>
      </c>
    </row>
    <row r="10">
      <c r="A10" s="5" t="inlineStr">
        <is>
          <t>Taux de Marge Brute</t>
        </is>
      </c>
      <c r="B10" s="11">
        <f>'Hypothèses'!C7</f>
        <v/>
      </c>
      <c r="C10" s="5" t="inlineStr">
        <is>
          <t>%</t>
        </is>
      </c>
    </row>
    <row r="11">
      <c r="A11" s="5" t="inlineStr">
        <is>
          <t>Marge Brute Perdue</t>
        </is>
      </c>
      <c r="B11" s="12">
        <f>B9*B10</f>
        <v/>
      </c>
      <c r="C11" s="5" t="inlineStr">
        <is>
          <t>£ (Coût d'opportunité)</t>
        </is>
      </c>
    </row>
    <row r="12">
      <c r="A12" s="5" t="inlineStr">
        <is>
          <t>Coût annuel de complexité par SKU</t>
        </is>
      </c>
      <c r="B12" s="12">
        <f>'Hypothèses'!C8</f>
        <v/>
      </c>
      <c r="C12" s="5" t="inlineStr">
        <is>
          <t>£ / SKU / an</t>
        </is>
      </c>
    </row>
    <row r="13">
      <c r="A13" s="13" t="inlineStr">
        <is>
          <t>Économies Logistiques Annuelles</t>
        </is>
      </c>
      <c r="B13" s="14">
        <f>B5*B12</f>
        <v/>
      </c>
      <c r="C13" s="5" t="inlineStr">
        <is>
          <t>£ de coûts fixes économisés</t>
        </is>
      </c>
    </row>
    <row r="14">
      <c r="A14" s="13" t="inlineStr">
        <is>
          <t>GAIN NET FINANCIER ANNUEL</t>
        </is>
      </c>
      <c r="B14" s="14">
        <f>B13-B11</f>
        <v/>
      </c>
      <c r="C14" s="5" t="inlineStr">
        <is>
          <t>£ Gain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2026-09-30T14:16:39Z</dcterms:created>
  <dcterms:modified xsi:type="dcterms:W3CDTF">2026-09-30T14:16:39Z</dcterms:modified>
</cp:coreProperties>
</file>